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3.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Inference" sheetId="1" state="visible" r:id="rId1"/>
    <sheet xmlns:r="http://schemas.openxmlformats.org/officeDocument/2006/relationships" name="Embeddings" sheetId="2" state="visible" r:id="rId2"/>
    <sheet xmlns:r="http://schemas.openxmlformats.org/officeDocument/2006/relationships" name="Cost Savings" sheetId="3" state="visible" r:id="rId3"/>
  </sheets>
  <definedNames/>
  <calcPr calcId="191028" fullCalcOnLoad="1"/>
</workbook>
</file>

<file path=xl/styles.xml><?xml version="1.0" encoding="utf-8"?>
<styleSheet xmlns="http://schemas.openxmlformats.org/spreadsheetml/2006/main">
  <numFmts count="7">
    <numFmt numFmtId="164" formatCode="[$$-409]#,##0.00"/>
    <numFmt numFmtId="165" formatCode="_([$$-409]* #,##0.00_);_([$$-409]* \(#,##0.00\);_([$$-409]* &quot;-&quot;??_);_(@_)"/>
    <numFmt numFmtId="166" formatCode="_(&quot;₹&quot;* #,##0.00_);_(&quot;₹&quot;* \(#,##0.00\);_(&quot;₹&quot;* &quot;-&quot;??_);_(@_)"/>
    <numFmt numFmtId="167" formatCode="&quot;$&quot;#,##0.00"/>
    <numFmt numFmtId="168" formatCode="&quot;$&quot;0.000"/>
    <numFmt numFmtId="169" formatCode="&quot;$&quot;#,##0"/>
    <numFmt numFmtId="170" formatCode="0.0"/>
  </numFmts>
  <fonts count="7">
    <font>
      <name val="Calibri"/>
      <family val="2"/>
      <color theme="1"/>
      <sz val="14"/>
      <scheme val="minor"/>
    </font>
    <font>
      <name val="Calibri"/>
      <family val="2"/>
      <b val="1"/>
      <color theme="1"/>
      <sz val="14"/>
      <scheme val="minor"/>
    </font>
    <font>
      <name val="Calibri"/>
      <family val="2"/>
      <b val="1"/>
      <color theme="0"/>
      <sz val="14"/>
      <scheme val="minor"/>
    </font>
    <font>
      <name val="Calibri"/>
      <family val="2"/>
      <b val="1"/>
      <color theme="1"/>
      <sz val="18"/>
      <scheme val="minor"/>
    </font>
    <font>
      <name val="Calibri"/>
      <family val="2"/>
      <color theme="1"/>
      <sz val="14"/>
      <scheme val="minor"/>
    </font>
    <font>
      <b val="1"/>
      <color rgb="000A2540"/>
      <sz val="12"/>
    </font>
    <font>
      <i val="1"/>
      <color rgb="005B6573"/>
      <sz val="10"/>
    </font>
  </fonts>
  <fills count="5">
    <fill>
      <patternFill/>
    </fill>
    <fill>
      <patternFill patternType="gray125"/>
    </fill>
    <fill>
      <patternFill patternType="solid">
        <fgColor theme="4" tint="0.5999938962981048"/>
        <bgColor indexed="64"/>
      </patternFill>
    </fill>
    <fill>
      <patternFill patternType="solid">
        <fgColor theme="4"/>
        <bgColor theme="4"/>
      </patternFill>
    </fill>
    <fill>
      <patternFill patternType="solid">
        <fgColor theme="4" tint="-0.249977111117893"/>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theme="4"/>
      </top>
      <bottom/>
      <diagonal/>
    </border>
    <border>
      <left/>
      <right style="medium">
        <color indexed="64"/>
      </right>
      <top style="thin">
        <color theme="4"/>
      </top>
      <bottom/>
      <diagonal/>
    </border>
    <border>
      <left style="medium">
        <color indexed="64"/>
      </left>
      <right/>
      <top style="thin">
        <color theme="4"/>
      </top>
      <bottom style="medium">
        <color indexed="64"/>
      </bottom>
      <diagonal/>
    </border>
    <border>
      <left style="thin">
        <color theme="4"/>
      </left>
      <right style="medium">
        <color indexed="64"/>
      </right>
      <top style="thin">
        <color theme="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theme="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s>
  <cellStyleXfs count="3">
    <xf numFmtId="0" fontId="4" fillId="0" borderId="0"/>
    <xf numFmtId="166" fontId="4" fillId="0" borderId="0"/>
    <xf numFmtId="9" fontId="4" fillId="0" borderId="0"/>
  </cellStyleXfs>
  <cellXfs count="88">
    <xf numFmtId="0" fontId="0" fillId="0" borderId="0" pivotButton="0" quotePrefix="0" xfId="0"/>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1" fillId="4" borderId="4" applyAlignment="1" pivotButton="0" quotePrefix="0" xfId="0">
      <alignment horizontal="center" vertical="center" wrapText="1"/>
    </xf>
    <xf numFmtId="0" fontId="1" fillId="4" borderId="5" applyAlignment="1" pivotButton="0" quotePrefix="0" xfId="0">
      <alignment horizontal="center" vertical="center" wrapText="1"/>
    </xf>
    <xf numFmtId="0" fontId="0" fillId="0" borderId="4" applyAlignment="1" pivotButton="0" quotePrefix="0" xfId="0">
      <alignment horizontal="center" vertical="center"/>
    </xf>
    <xf numFmtId="0" fontId="0" fillId="0" borderId="5" applyAlignment="1" pivotButton="0" quotePrefix="0" xfId="0">
      <alignment horizontal="center" vertical="center"/>
    </xf>
    <xf numFmtId="0" fontId="1" fillId="2" borderId="6" applyAlignment="1" pivotButton="0" quotePrefix="0" xfId="0">
      <alignment horizontal="center" vertical="center"/>
    </xf>
    <xf numFmtId="0" fontId="1" fillId="2" borderId="7" applyAlignment="1" pivotButton="0" quotePrefix="0" xfId="0">
      <alignment horizontal="center" vertic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4" pivotButton="0" quotePrefix="0" xfId="0"/>
    <xf numFmtId="0" fontId="0" fillId="0" borderId="4" applyAlignment="1" pivotButton="0" quotePrefix="0" xfId="0">
      <alignment wrapText="1"/>
    </xf>
    <xf numFmtId="0" fontId="1" fillId="2" borderId="10" applyAlignment="1" pivotButton="0" quotePrefix="0" xfId="0">
      <alignment horizontal="center" vertical="center"/>
    </xf>
    <xf numFmtId="164" fontId="1" fillId="2" borderId="11" applyAlignment="1" pivotButton="0" quotePrefix="0" xfId="0">
      <alignment horizontal="center" vertical="center"/>
    </xf>
    <xf numFmtId="0" fontId="0" fillId="0" borderId="12"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1" fillId="2" borderId="10" applyAlignment="1" pivotButton="0" quotePrefix="0" xfId="0">
      <alignment vertical="center"/>
    </xf>
    <xf numFmtId="0" fontId="2" fillId="3" borderId="13" applyAlignment="1" pivotButton="0" quotePrefix="0" xfId="0">
      <alignment horizontal="center" vertical="center"/>
    </xf>
    <xf numFmtId="164" fontId="2" fillId="3" borderId="14" applyAlignment="1" pivotButton="0" quotePrefix="0" xfId="0">
      <alignment horizontal="center" vertical="center"/>
    </xf>
    <xf numFmtId="0" fontId="3" fillId="2" borderId="13" applyAlignment="1" pivotButton="0" quotePrefix="0" xfId="0">
      <alignment horizontal="center" vertical="center"/>
    </xf>
    <xf numFmtId="0" fontId="3" fillId="2" borderId="15" applyAlignment="1" pivotButton="0" quotePrefix="0" xfId="0">
      <alignment horizontal="center" vertical="center"/>
    </xf>
    <xf numFmtId="0" fontId="0" fillId="0" borderId="18" applyAlignment="1" pivotButton="0" quotePrefix="0" xfId="0">
      <alignment horizontal="center" vertical="center"/>
    </xf>
    <xf numFmtId="0" fontId="1" fillId="2" borderId="18" applyAlignment="1" pivotButton="0" quotePrefix="0" xfId="0">
      <alignment horizontal="center" vertical="center"/>
    </xf>
    <xf numFmtId="0" fontId="1" fillId="2" borderId="12" applyAlignment="1" pivotButton="0" quotePrefix="0" xfId="0">
      <alignment horizontal="center" vertical="center"/>
    </xf>
    <xf numFmtId="0" fontId="1" fillId="2" borderId="19" applyAlignment="1" pivotButton="0" quotePrefix="0" xfId="0">
      <alignment horizontal="center" vertical="center"/>
    </xf>
    <xf numFmtId="0" fontId="1" fillId="2" borderId="20" applyAlignment="1" pivotButton="0" quotePrefix="0" xfId="0">
      <alignment horizontal="center" vertical="center"/>
    </xf>
    <xf numFmtId="0" fontId="0" fillId="0" borderId="21" applyAlignment="1" pivotButton="0" quotePrefix="0" xfId="0">
      <alignment horizontal="center" vertical="center"/>
    </xf>
    <xf numFmtId="0" fontId="0" fillId="0" borderId="22" applyAlignment="1" pivotButton="0" quotePrefix="0" xfId="0">
      <alignment horizontal="center" vertical="center" wrapText="1"/>
    </xf>
    <xf numFmtId="0" fontId="0" fillId="0" borderId="23" applyAlignment="1" pivotButton="0" quotePrefix="0" xfId="0">
      <alignment horizontal="center" vertical="center" wrapText="1"/>
    </xf>
    <xf numFmtId="0" fontId="0" fillId="0" borderId="24" applyAlignment="1" pivotButton="0" quotePrefix="0" xfId="0">
      <alignment horizontal="center" vertical="center"/>
    </xf>
    <xf numFmtId="164" fontId="0" fillId="0" borderId="25" applyAlignment="1" pivotButton="0" quotePrefix="0" xfId="0">
      <alignment horizontal="center" vertical="center"/>
    </xf>
    <xf numFmtId="0" fontId="0" fillId="0" borderId="24" pivotButton="0" quotePrefix="0" xfId="0"/>
    <xf numFmtId="0" fontId="0" fillId="0" borderId="1" pivotButton="0" quotePrefix="0" xfId="0"/>
    <xf numFmtId="164" fontId="0" fillId="0" borderId="25" pivotButton="0" quotePrefix="0" xfId="0"/>
    <xf numFmtId="0" fontId="0" fillId="0" borderId="26" pivotButton="0" quotePrefix="0" xfId="0"/>
    <xf numFmtId="0" fontId="0" fillId="0" borderId="27" pivotButton="0" quotePrefix="0" xfId="0"/>
    <xf numFmtId="164" fontId="0" fillId="0" borderId="28" pivotButton="0" quotePrefix="0" xfId="0"/>
    <xf numFmtId="0" fontId="2" fillId="4" borderId="0" applyAlignment="1" pivotButton="0" quotePrefix="0" xfId="0">
      <alignment horizontal="center" vertical="center"/>
    </xf>
    <xf numFmtId="165" fontId="2" fillId="4" borderId="0" applyAlignment="1" pivotButton="0" quotePrefix="0" xfId="0">
      <alignment horizontal="center" vertical="center"/>
    </xf>
    <xf numFmtId="0" fontId="2" fillId="4" borderId="1" applyAlignment="1" pivotButton="0" quotePrefix="0" xfId="0">
      <alignment horizontal="center" vertical="center"/>
    </xf>
    <xf numFmtId="165" fontId="2" fillId="4" borderId="1" applyAlignment="1" pivotButton="0" quotePrefix="0" xfId="0">
      <alignment horizontal="center" vertical="center"/>
    </xf>
    <xf numFmtId="9" fontId="2" fillId="4" borderId="1" applyAlignment="1" pivotButton="0" quotePrefix="0" xfId="2">
      <alignment horizontal="center" vertical="center"/>
    </xf>
    <xf numFmtId="0" fontId="0" fillId="0" borderId="23" applyAlignment="1" pivotButton="0" quotePrefix="0" xfId="0">
      <alignment horizontal="center" vertical="center"/>
    </xf>
    <xf numFmtId="165" fontId="0" fillId="0" borderId="25" pivotButton="0" quotePrefix="0" xfId="0"/>
    <xf numFmtId="165" fontId="0" fillId="0" borderId="28" pivotButton="0" quotePrefix="0" xfId="0"/>
    <xf numFmtId="165" fontId="0" fillId="0" borderId="25" applyAlignment="1" pivotButton="0" quotePrefix="0" xfId="1">
      <alignment horizontal="center" vertical="center"/>
    </xf>
    <xf numFmtId="165" fontId="0" fillId="0" borderId="25" applyAlignment="1" pivotButton="0" quotePrefix="0" xfId="0">
      <alignment horizontal="center" vertical="center"/>
    </xf>
    <xf numFmtId="0" fontId="0" fillId="0" borderId="26" applyAlignment="1" pivotButton="0" quotePrefix="0" xfId="0">
      <alignment horizontal="center" vertical="center"/>
    </xf>
    <xf numFmtId="165" fontId="0" fillId="0" borderId="28" applyAlignment="1" pivotButton="0" quotePrefix="0" xfId="0">
      <alignment horizontal="center" vertical="center"/>
    </xf>
    <xf numFmtId="0" fontId="1" fillId="2" borderId="16" applyAlignment="1" pivotButton="0" quotePrefix="0" xfId="0">
      <alignment horizontal="center" vertical="center"/>
    </xf>
    <xf numFmtId="0" fontId="1" fillId="2" borderId="17" applyAlignment="1" pivotButton="0" quotePrefix="0" xfId="0">
      <alignment horizontal="center" vertical="center"/>
    </xf>
    <xf numFmtId="0" fontId="1" fillId="2" borderId="29" applyAlignment="1" pivotButton="0" quotePrefix="0" xfId="0">
      <alignment horizontal="center" vertical="center" wrapText="1"/>
    </xf>
    <xf numFmtId="0" fontId="1" fillId="2" borderId="30" applyAlignment="1" pivotButton="0" quotePrefix="0" xfId="0">
      <alignment horizontal="center" vertical="center" wrapText="1"/>
    </xf>
    <xf numFmtId="0" fontId="1" fillId="2" borderId="31" applyAlignment="1" pivotButton="0" quotePrefix="0" xfId="0">
      <alignment horizontal="center" vertical="center" wrapText="1"/>
    </xf>
    <xf numFmtId="0" fontId="1" fillId="2" borderId="2" applyAlignment="1" pivotButton="0" quotePrefix="0" xfId="0">
      <alignment horizontal="center" vertical="center" wrapText="1"/>
    </xf>
    <xf numFmtId="0" fontId="1" fillId="2" borderId="3" applyAlignment="1" pivotButton="0" quotePrefix="0" xfId="0">
      <alignment horizontal="center" vertical="center" wrapText="1"/>
    </xf>
    <xf numFmtId="0" fontId="1" fillId="2" borderId="2" applyAlignment="1" pivotButton="0" quotePrefix="0" xfId="0">
      <alignment horizontal="center" vertical="center"/>
    </xf>
    <xf numFmtId="0" fontId="1" fillId="2" borderId="3" applyAlignment="1" pivotButton="0" quotePrefix="0" xfId="0">
      <alignment horizontal="center" vertical="center"/>
    </xf>
    <xf numFmtId="0" fontId="2" fillId="4" borderId="0" applyAlignment="1" pivotButton="0" quotePrefix="0" xfId="0">
      <alignment horizontal="center" vertical="center"/>
    </xf>
    <xf numFmtId="0" fontId="2" fillId="4" borderId="0" applyAlignment="1" pivotButton="0" quotePrefix="0" xfId="0">
      <alignment horizontal="center" vertical="center" wrapText="1"/>
    </xf>
    <xf numFmtId="0" fontId="0" fillId="0" borderId="31" pivotButton="0" quotePrefix="0" xfId="0"/>
    <xf numFmtId="0" fontId="1" fillId="2" borderId="16" applyAlignment="1" pivotButton="0" quotePrefix="0" xfId="0">
      <alignment horizontal="center" vertical="center" wrapText="1"/>
    </xf>
    <xf numFmtId="0" fontId="0" fillId="0" borderId="30" pivotButton="0" quotePrefix="0" xfId="0"/>
    <xf numFmtId="164" fontId="0" fillId="0" borderId="25" applyAlignment="1" pivotButton="0" quotePrefix="0" xfId="0">
      <alignment horizontal="center" vertical="center"/>
    </xf>
    <xf numFmtId="164" fontId="0" fillId="0" borderId="25" pivotButton="0" quotePrefix="0" xfId="0"/>
    <xf numFmtId="9" fontId="1" fillId="2" borderId="20" applyAlignment="1" pivotButton="0" quotePrefix="0" xfId="0">
      <alignment horizontal="center" vertical="center"/>
    </xf>
    <xf numFmtId="167" fontId="1" fillId="2" borderId="20" applyAlignment="1" pivotButton="0" quotePrefix="0" xfId="0">
      <alignment horizontal="center" vertical="center"/>
    </xf>
    <xf numFmtId="164" fontId="0" fillId="0" borderId="28" pivotButton="0" quotePrefix="0" xfId="0"/>
    <xf numFmtId="0" fontId="5" fillId="0" borderId="0" pivotButton="0" quotePrefix="0" xfId="0"/>
    <xf numFmtId="0" fontId="6" fillId="0" borderId="0" applyAlignment="1" pivotButton="0" quotePrefix="0" xfId="0">
      <alignment vertical="top" wrapText="1"/>
    </xf>
    <xf numFmtId="169" fontId="1" fillId="2" borderId="20" applyAlignment="1" pivotButton="0" quotePrefix="0" xfId="0">
      <alignment horizontal="center" vertical="center"/>
    </xf>
    <xf numFmtId="168" fontId="1" fillId="2" borderId="20" applyAlignment="1" pivotButton="0" quotePrefix="0" xfId="0">
      <alignment horizontal="center" vertical="center"/>
    </xf>
    <xf numFmtId="0" fontId="1" fillId="2" borderId="34" applyAlignment="1" pivotButton="0" quotePrefix="0" xfId="0">
      <alignment horizontal="center" vertical="center" wrapText="1"/>
    </xf>
    <xf numFmtId="0" fontId="0" fillId="0" borderId="3" pivotButton="0" quotePrefix="0" xfId="0"/>
    <xf numFmtId="0" fontId="1" fillId="2" borderId="34" applyAlignment="1" pivotButton="0" quotePrefix="0" xfId="0">
      <alignment horizontal="center" vertical="center"/>
    </xf>
    <xf numFmtId="164" fontId="1" fillId="2" borderId="11" applyAlignment="1" pivotButton="0" quotePrefix="0" xfId="0">
      <alignment horizontal="center" vertical="center"/>
    </xf>
    <xf numFmtId="164" fontId="2" fillId="3" borderId="14" applyAlignment="1" pivotButton="0" quotePrefix="0" xfId="0">
      <alignment horizontal="center" vertical="center"/>
    </xf>
    <xf numFmtId="170" fontId="0" fillId="0" borderId="0" applyAlignment="1" pivotButton="0" quotePrefix="0" xfId="0">
      <alignment horizontal="center" vertical="center"/>
    </xf>
    <xf numFmtId="165" fontId="0" fillId="0" borderId="25" applyAlignment="1" pivotButton="0" quotePrefix="0" xfId="1">
      <alignment horizontal="center" vertical="center"/>
    </xf>
    <xf numFmtId="165" fontId="0" fillId="0" borderId="25" applyAlignment="1" pivotButton="0" quotePrefix="0" xfId="0">
      <alignment horizontal="center" vertical="center"/>
    </xf>
    <xf numFmtId="169" fontId="0" fillId="0" borderId="28" applyAlignment="1" pivotButton="0" quotePrefix="0" xfId="0">
      <alignment horizontal="center" vertical="center"/>
    </xf>
    <xf numFmtId="169" fontId="2" fillId="4" borderId="0" applyAlignment="1" pivotButton="0" quotePrefix="0" xfId="0">
      <alignment horizontal="center" vertical="center"/>
    </xf>
    <xf numFmtId="169" fontId="0" fillId="0" borderId="25" pivotButton="0" quotePrefix="0" xfId="0"/>
    <xf numFmtId="169" fontId="0" fillId="0" borderId="28" pivotButton="0" quotePrefix="0" xfId="0"/>
    <xf numFmtId="169" fontId="2" fillId="4" borderId="1" applyAlignment="1" pivotButton="0" quotePrefix="0" xfId="0">
      <alignment horizontal="center" vertical="center"/>
    </xf>
    <xf numFmtId="170" fontId="2" fillId="4" borderId="1" applyAlignment="1" pivotButton="0" quotePrefix="0" xfId="2">
      <alignment horizontal="center" vertical="center"/>
    </xf>
  </cellXfs>
  <cellStyles count="3">
    <cellStyle name="Normal" xfId="0" builtinId="0"/>
    <cellStyle name="Currency" xfId="1" builtinId="4"/>
    <cellStyle name="Percent" xfId="2" builtinId="5"/>
  </cellStyles>
  <dxfs count="47">
    <dxf>
      <numFmt numFmtId="166" formatCode="_([$$-409]* #,##0.00_);_([$$-409]* \(#,##0.00\);_([$$-409]* &quot;-&quot;??_);_(@_)"/>
      <border>
        <left style="thin">
          <color indexed="64"/>
        </left>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border>
        <bottom style="thin">
          <color indexed="64"/>
        </bottom>
      </border>
    </dxf>
    <dxf>
      <alignment horizontal="center" vertical="center"/>
      <border>
        <left style="thin">
          <color indexed="64"/>
        </left>
        <right style="thin">
          <color indexed="64"/>
        </right>
        <top/>
        <bottom/>
        <vertical style="thin">
          <color indexed="64"/>
        </vertical>
        <horizontal style="thin">
          <color indexed="64"/>
        </horizontal>
      </border>
    </dxf>
    <dxf>
      <alignment horizontal="center" vertical="center"/>
      <border>
        <left style="thin">
          <color indexed="64"/>
        </left>
        <right/>
        <top style="thin">
          <color indexed="64"/>
        </top>
        <bottom style="thin">
          <color indexed="64"/>
        </bottom>
        <vertical style="thin">
          <color indexed="64"/>
        </vertical>
        <horizontal style="thin">
          <color indexed="64"/>
        </horizontal>
      </border>
    </dxf>
    <dxf>
      <alignment horizontal="center" vertical="center"/>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alignment horizontal="center" vertical="center"/>
    </dxf>
    <dxf>
      <border>
        <bottom style="thin">
          <color indexed="64"/>
        </bottom>
      </border>
    </dxf>
    <dxf>
      <alignment horizontal="center" vertical="center"/>
      <border>
        <left style="thin">
          <color indexed="64"/>
        </left>
        <right style="thin">
          <color indexed="64"/>
        </right>
        <top/>
        <bottom/>
        <vertical style="thin">
          <color indexed="64"/>
        </vertical>
        <horizontal style="thin">
          <color indexed="64"/>
        </horizontal>
      </bord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alignment horizontal="center" vertical="center"/>
    </dxf>
    <dxf>
      <font>
        <name val="Calibri"/>
        <family val="2"/>
        <b val="1"/>
        <strike val="0"/>
        <outline val="0"/>
        <shadow val="0"/>
        <condense val="0"/>
        <color theme="1"/>
        <extend val="0"/>
        <sz val="14"/>
        <vertAlign val="baseline"/>
        <scheme val="minor"/>
      </font>
      <fill>
        <patternFill patternType="solid">
          <fgColor indexed="64"/>
          <bgColor theme="4" tint="-0.249977111117893"/>
        </patternFill>
      </fill>
      <alignment horizontal="center" vertical="center" wrapText="1"/>
    </dxf>
    <dxf>
      <border outline="0">
        <bottom style="thin">
          <color theme="4"/>
        </bottom>
      </border>
    </dxf>
    <dxf>
      <font>
        <name val="Calibri"/>
        <family val="2"/>
        <b val="1"/>
        <strike val="0"/>
        <outline val="0"/>
        <shadow val="0"/>
        <condense val="0"/>
        <color theme="1"/>
        <extend val="0"/>
        <sz val="14"/>
        <vertAlign val="baseline"/>
        <scheme val="minor"/>
      </font>
      <fill>
        <patternFill patternType="solid">
          <fgColor indexed="64"/>
          <bgColor theme="4" tint="-0.249977111117893"/>
        </patternFill>
      </fill>
      <alignment horizontal="center" vertical="center" wrapText="1"/>
    </dxf>
    <dxf>
      <alignment horizontal="center" vertical="center"/>
    </dxf>
    <dxf>
      <font>
        <name val="Calibri"/>
        <family val="2"/>
        <b val="1"/>
        <strike val="0"/>
        <outline val="0"/>
        <shadow val="0"/>
        <condense val="0"/>
        <color theme="1"/>
        <extend val="0"/>
        <sz val="14"/>
        <vertAlign val="baseline"/>
        <scheme val="minor"/>
      </font>
      <fill>
        <patternFill patternType="solid">
          <fgColor indexed="64"/>
          <bgColor theme="4" tint="-0.249977111117893"/>
        </patternFill>
      </fill>
      <alignment horizontal="center" vertical="center" wrapText="1"/>
    </dxf>
    <dxf>
      <alignment horizontal="center" vertical="bottom"/>
    </dxf>
    <dxf>
      <alignment horizontal="center" vertical="bottom"/>
    </dxf>
    <dxf>
      <alignment horizontal="center" vertical="bottom"/>
    </dxf>
    <dxf>
      <font>
        <name val="Calibri"/>
        <family val="2"/>
        <b val="1"/>
        <strike val="0"/>
        <outline val="0"/>
        <shadow val="0"/>
        <condense val="0"/>
        <color theme="1"/>
        <extend val="0"/>
        <sz val="14"/>
        <vertAlign val="baseline"/>
        <scheme val="minor"/>
      </font>
      <fill>
        <patternFill patternType="solid">
          <fgColor indexed="64"/>
          <bgColor theme="4" tint="-0.249977111117893"/>
        </patternFill>
      </fill>
      <alignment horizontal="center" vertical="center" wrapText="1"/>
    </dxf>
    <dxf>
      <alignment horizontal="center" vertical="center"/>
    </dxf>
    <dxf>
      <alignment horizontal="center" vertical="center"/>
    </dxf>
    <dxf>
      <alignment horizontal="center" vertical="center"/>
    </dxf>
    <dxf>
      <font>
        <name val="Calibri"/>
        <family val="2"/>
        <b val="1"/>
        <strike val="0"/>
        <outline val="0"/>
        <shadow val="0"/>
        <condense val="0"/>
        <color theme="1"/>
        <extend val="0"/>
        <sz val="14"/>
        <vertAlign val="baseline"/>
        <scheme val="minor"/>
      </font>
      <fill>
        <patternFill patternType="solid">
          <fgColor indexed="64"/>
          <bgColor theme="4" tint="-0.249977111117893"/>
        </patternFill>
      </fill>
      <alignment horizontal="center" vertical="center" wrapText="1"/>
    </dxf>
    <dxf>
      <numFmt numFmtId="165" formatCode="[$$-409]#,##0.00"/>
      <border>
        <left style="thin">
          <color indexed="64"/>
        </left>
        <right/>
        <top style="thin">
          <color indexed="64"/>
        </top>
        <bottom style="thin">
          <color indexed="64"/>
        </bottom>
        <vertical style="thin">
          <color indexed="64"/>
        </vertical>
        <horizontal style="thin">
          <color indexed="64"/>
        </horizontal>
      </border>
    </dxf>
    <dxf>
      <numFmt numFmtId="0" formatCode="General"/>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medium">
          <color indexed="64"/>
        </left>
        <right style="medium">
          <color indexed="64"/>
        </right>
        <top style="medium">
          <color indexed="64"/>
        </top>
        <bottom style="medium">
          <color indexed="64"/>
        </bottom>
      </border>
    </dxf>
    <dxf>
      <border>
        <bottom style="thin">
          <color indexed="64"/>
        </bottom>
      </border>
    </dxf>
    <dxf>
      <alignment horizontal="center" vertical="center" wrapText="1"/>
      <border>
        <left style="thin">
          <color indexed="64"/>
        </left>
        <right style="thin">
          <color indexed="64"/>
        </right>
        <top/>
        <bottom/>
        <vertical style="thin">
          <color indexed="64"/>
        </vertical>
        <horizontal style="thin">
          <color indexed="64"/>
        </horizontal>
      </border>
    </dxf>
    <dxf>
      <alignment horizontal="center" vertical="center"/>
      <border>
        <left style="thin">
          <color indexed="64"/>
        </left>
        <right/>
        <top style="thin">
          <color indexed="64"/>
        </top>
        <bottom style="thin">
          <color indexed="64"/>
        </bottom>
        <vertical style="thin">
          <color indexed="64"/>
        </vertical>
        <horizontal style="thin">
          <color indexed="64"/>
        </horizontal>
      </border>
    </dxf>
    <dxf>
      <alignment horizontal="center" vertical="center"/>
      <border>
        <left/>
        <right style="thin">
          <color indexed="64"/>
        </right>
        <top style="thin">
          <color indexed="64"/>
        </top>
        <bottom style="thin">
          <color indexed="64"/>
        </bottom>
        <vertical style="thin">
          <color indexed="64"/>
        </vertical>
        <horizontal style="thin">
          <color indexed="64"/>
        </horizontal>
      </border>
    </dxf>
    <dxf>
      <alignment horizontal="center" vertical="center"/>
      <border>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able1" displayName="Table1" ref="B5:C16" headerRowCount="1" totalsRowShown="0" headerRowDxfId="46">
  <autoFilter ref="B5:C16"/>
  <tableColumns count="2">
    <tableColumn id="1" name="Description" dataDxfId="45"/>
    <tableColumn id="2" name="Quantity" dataDxfId="44"/>
  </tableColumns>
  <tableStyleInfo name="TableStyleLight9" showFirstColumn="0" showLastColumn="0" showRowStripes="1" showColumnStripes="0"/>
</table>
</file>

<file path=xl/tables/table2.xml><?xml version="1.0" encoding="utf-8"?>
<table xmlns="http://schemas.openxmlformats.org/spreadsheetml/2006/main" id="2" name="Table2" displayName="Table2" ref="E5:K11" headerRowCount="1" totalsRowShown="0" headerRowDxfId="43" headerRowBorderDxfId="42" tableBorderDxfId="41" totalsRowBorderDxfId="40">
  <autoFilter ref="E5:K11"/>
  <tableColumns count="7">
    <tableColumn id="1" name="Model Name" dataDxfId="39"/>
    <tableColumn id="2" name="Input cost($) per 1M token" dataDxfId="38"/>
    <tableColumn id="3" name="Output cost($) per 1M token" dataDxfId="37"/>
    <tableColumn id="4" name="Cost per input Query($)" dataDxfId="36">
      <calculatedColumnFormula>F6*$C$11/1000000</calculatedColumnFormula>
    </tableColumn>
    <tableColumn id="5" name="Cost per output query Query($)" dataDxfId="35">
      <calculatedColumnFormula>G6*$C$12/1000000</calculatedColumnFormula>
    </tableColumn>
    <tableColumn id="6" name="Total Cost per query" dataDxfId="34">
      <calculatedColumnFormula>H6+I6</calculatedColumnFormula>
    </tableColumn>
    <tableColumn id="7" name="Total cost per month" dataDxfId="33">
      <calculatedColumnFormula>Table2[[#This Row],[Total Cost per query]]*$C$16</calculatedColumnFormula>
    </tableColumn>
  </tableColumns>
  <tableStyleInfo name="TableStyleLight9" showFirstColumn="0" showLastColumn="0" showRowStripes="1" showColumnStripes="0"/>
</table>
</file>

<file path=xl/tables/table3.xml><?xml version="1.0" encoding="utf-8"?>
<table xmlns="http://schemas.openxmlformats.org/spreadsheetml/2006/main" id="3" name="Table3" displayName="Table3" ref="C6:D10" headerRowCount="1" totalsRowShown="0" headerRowDxfId="32" dataDxfId="31">
  <autoFilter ref="C6:D10"/>
  <tableColumns count="2">
    <tableColumn id="1" name="Component" dataDxfId="30"/>
    <tableColumn id="2" name="Quantity" dataDxfId="29"/>
  </tableColumns>
  <tableStyleInfo name="TableStyleLight9" showFirstColumn="0" showLastColumn="0" showRowStripes="1" showColumnStripes="0"/>
</table>
</file>

<file path=xl/tables/table4.xml><?xml version="1.0" encoding="utf-8"?>
<table xmlns="http://schemas.openxmlformats.org/spreadsheetml/2006/main" id="4" name="Table4" displayName="Table4" ref="F6:G10" headerRowCount="1" totalsRowShown="0" headerRowDxfId="28" dataDxfId="27">
  <autoFilter ref="F6:G10"/>
  <tableColumns count="2">
    <tableColumn id="1" name="Component" dataDxfId="26"/>
    <tableColumn id="2" name="Quantity" dataDxfId="25"/>
  </tableColumns>
  <tableStyleInfo name="TableStyleLight9" showFirstColumn="0" showLastColumn="0" showRowStripes="1" showColumnStripes="0"/>
</table>
</file>

<file path=xl/tables/table5.xml><?xml version="1.0" encoding="utf-8"?>
<table xmlns="http://schemas.openxmlformats.org/spreadsheetml/2006/main" id="5" name="Table5" displayName="Table5" ref="I6:J10" headerRowCount="1" totalsRowShown="0" headerRowDxfId="24">
  <autoFilter ref="I6:J10"/>
  <tableColumns count="2">
    <tableColumn id="1" name="Component"/>
    <tableColumn id="2" name="Quantity" dataDxfId="23"/>
  </tableColumns>
  <tableStyleInfo name="TableStyleLight9" showFirstColumn="0" showLastColumn="0" showRowStripes="1" showColumnStripes="0"/>
</table>
</file>

<file path=xl/tables/table6.xml><?xml version="1.0" encoding="utf-8"?>
<table xmlns="http://schemas.openxmlformats.org/spreadsheetml/2006/main" id="6" name="Table6" displayName="Table6" ref="C14:D17" headerRowCount="1" totalsRowShown="0" headerRowDxfId="22" tableBorderDxfId="21">
  <autoFilter ref="C14:D17"/>
  <tableColumns count="2">
    <tableColumn id="1" name="Component"/>
    <tableColumn id="2" name="Cost/Quantity"/>
  </tableColumns>
  <tableStyleInfo name="TableStyleLight9" showFirstColumn="0" showLastColumn="0" showRowStripes="1" showColumnStripes="0"/>
</table>
</file>

<file path=xl/tables/table7.xml><?xml version="1.0" encoding="utf-8"?>
<table xmlns="http://schemas.openxmlformats.org/spreadsheetml/2006/main" id="7" name="Table7" displayName="Table7" ref="C21:D26" headerRowCount="1" totalsRowShown="0" headerRowDxfId="20" dataDxfId="19">
  <autoFilter ref="C21:D26"/>
  <tableColumns count="2">
    <tableColumn id="1" name="Component" dataDxfId="18"/>
    <tableColumn id="2" name="Cost/Quantity" dataDxfId="17"/>
  </tableColumns>
  <tableStyleInfo name="TableStyleLight9" showFirstColumn="0" showLastColumn="0" showRowStripes="1" showColumnStripes="0"/>
</table>
</file>

<file path=xl/tables/table8.xml><?xml version="1.0" encoding="utf-8"?>
<table xmlns="http://schemas.openxmlformats.org/spreadsheetml/2006/main" id="8" name="Table8" displayName="Table8" ref="D4:E10" headerRowCount="1" totalsRowShown="0" headerRowDxfId="16" dataDxfId="15">
  <autoFilter ref="D4:E10"/>
  <tableColumns count="2">
    <tableColumn id="1" name="Component" dataDxfId="14"/>
    <tableColumn id="2" name="Quantity" dataDxfId="13"/>
  </tableColumns>
  <tableStyleInfo name="TableStyleLight9" showFirstColumn="0" showLastColumn="0" showRowStripes="1" showColumnStripes="0"/>
</table>
</file>

<file path=xl/tables/table9.xml><?xml version="1.0" encoding="utf-8"?>
<table xmlns="http://schemas.openxmlformats.org/spreadsheetml/2006/main" id="9" name="Table9" displayName="Table9" ref="D14:E17" headerRowCount="1" totalsRowShown="0" headerRowDxfId="12" dataDxfId="10" headerRowBorderDxfId="11" tableBorderDxfId="9" totalsRowBorderDxfId="8">
  <autoFilter ref="D14:E17"/>
  <tableColumns count="2">
    <tableColumn id="1" name="Component" dataDxfId="7"/>
    <tableColumn id="2" name="Cost" dataDxfId="6"/>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D23:E25" headerRowCount="1" totalsRowShown="0" headerRowDxfId="5" headerRowBorderDxfId="4" tableBorderDxfId="3" totalsRowBorderDxfId="2">
  <autoFilter ref="D23:E25"/>
  <tableColumns count="2">
    <tableColumn id="1" name="Component" dataDxfId="1"/>
    <tableColumn id="2" name="Cost"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 Type="http://schemas.openxmlformats.org/officeDocument/2006/relationships/table" Target="/xl/tables/table5.xml" Id="rId3"/><Relationship Type="http://schemas.openxmlformats.org/officeDocument/2006/relationships/table" Target="/xl/tables/table6.xml" Id="rId4"/><Relationship Type="http://schemas.openxmlformats.org/officeDocument/2006/relationships/table" Target="/xl/tables/table7.xml" Id="rId5"/></Relationships>
</file>

<file path=xl/worksheets/_rels/sheet3.xml.rels><Relationships xmlns="http://schemas.openxmlformats.org/package/2006/relationships"><Relationship Type="http://schemas.openxmlformats.org/officeDocument/2006/relationships/table" Target="/xl/tables/table8.xml" Id="rId1"/><Relationship Type="http://schemas.openxmlformats.org/officeDocument/2006/relationships/table" Target="/xl/tables/table9.xml" Id="rId2"/><Relationship Type="http://schemas.openxmlformats.org/officeDocument/2006/relationships/table" Target="/xl/tables/table10.xml" Id="rId3"/></Relationships>
</file>

<file path=xl/worksheets/sheet1.xml><?xml version="1.0" encoding="utf-8"?>
<worksheet xmlns="http://schemas.openxmlformats.org/spreadsheetml/2006/main">
  <sheetPr>
    <outlinePr summaryBelow="1" summaryRight="1"/>
    <pageSetUpPr/>
  </sheetPr>
  <dimension ref="B4:K28"/>
  <sheetViews>
    <sheetView tabSelected="1" zoomScaleNormal="100" workbookViewId="0">
      <selection activeCell="E15" sqref="E15"/>
    </sheetView>
  </sheetViews>
  <sheetFormatPr baseColWidth="8" defaultColWidth="11.1640625" defaultRowHeight="18"/>
  <cols>
    <col width="52" customWidth="1" min="2" max="2"/>
    <col width="15.9140625" customWidth="1" min="3" max="3"/>
    <col width="34" customWidth="1" min="5" max="5"/>
    <col width="18.6640625" customWidth="1" min="6" max="6"/>
    <col width="20.33203125" customWidth="1" min="7" max="7"/>
    <col width="19" customWidth="1" min="8" max="9"/>
    <col width="12.58203125" customWidth="1" min="10" max="10"/>
    <col width="18.33203125" customWidth="1" min="11" max="11"/>
  </cols>
  <sheetData>
    <row r="3" ht="18.6" customHeight="1" thickBot="1"/>
    <row r="4" ht="18.9" customHeight="1">
      <c r="B4" s="51" t="inlineStr">
        <is>
          <t>Base Calculation (tokens per life event, both AI calls)</t>
        </is>
      </c>
      <c r="C4" s="62" t="n"/>
      <c r="E4" s="63" t="inlineStr">
        <is>
          <t>Model Selection + Cost Estimation</t>
        </is>
      </c>
      <c r="F4" s="64" t="n"/>
      <c r="G4" s="64" t="n"/>
      <c r="H4" s="64" t="n"/>
      <c r="I4" s="64" t="n"/>
      <c r="J4" s="64" t="n"/>
      <c r="K4" s="62" t="n"/>
    </row>
    <row r="5" ht="36" customHeight="1">
      <c r="B5" s="23" t="inlineStr">
        <is>
          <t>Description</t>
        </is>
      </c>
      <c r="C5" s="15" t="inlineStr">
        <is>
          <t>Quantity</t>
        </is>
      </c>
      <c r="E5" s="28" t="inlineStr">
        <is>
          <t>Model Name</t>
        </is>
      </c>
      <c r="F5" s="29" t="inlineStr">
        <is>
          <t>Input cost($) per 1M token</t>
        </is>
      </c>
      <c r="G5" s="29" t="inlineStr">
        <is>
          <t>Output cost($) per 1M token</t>
        </is>
      </c>
      <c r="H5" s="29" t="inlineStr">
        <is>
          <t>Cost per input Query($)</t>
        </is>
      </c>
      <c r="I5" s="29" t="inlineStr">
        <is>
          <t>Cost per output query Query($)</t>
        </is>
      </c>
      <c r="J5" s="29" t="inlineStr">
        <is>
          <t>Total Cost per query</t>
        </is>
      </c>
      <c r="K5" s="30" t="inlineStr">
        <is>
          <t>Total cost per month</t>
        </is>
      </c>
    </row>
    <row r="6">
      <c r="B6" s="23" t="inlineStr">
        <is>
          <t>Life event text (letter, note or message)</t>
        </is>
      </c>
      <c r="C6" s="15" t="n">
        <v>200</v>
      </c>
      <c r="E6" s="31" t="inlineStr">
        <is>
          <t>groq: openai/gpt-oss-120b (primary)</t>
        </is>
      </c>
      <c r="F6" s="2" t="n">
        <v>0.15</v>
      </c>
      <c r="G6" s="2" t="n">
        <v>0.6</v>
      </c>
      <c r="H6" s="2">
        <f>F6*$C$11/1000000</f>
        <v/>
      </c>
      <c r="I6" s="2">
        <f>G6*$C$12/1000000</f>
        <v/>
      </c>
      <c r="J6" s="2">
        <f>H6+I6</f>
        <v/>
      </c>
      <c r="K6" s="65">
        <f>Table2[[#This Row],[Total Cost per query]]*$C$16</f>
        <v/>
      </c>
    </row>
    <row r="7">
      <c r="B7" s="23" t="inlineStr">
        <is>
          <t>Extraction prompt + fixed JSON schema</t>
        </is>
      </c>
      <c r="C7" s="15" t="n">
        <v>450</v>
      </c>
      <c r="E7" s="31" t="inlineStr">
        <is>
          <t>claude-opus-5-5 (backup)</t>
        </is>
      </c>
      <c r="F7" s="2" t="n">
        <v>4</v>
      </c>
      <c r="G7" s="2" t="n">
        <v>20</v>
      </c>
      <c r="H7" s="2">
        <f>F7*$C$11/1000000</f>
        <v/>
      </c>
      <c r="I7" s="2">
        <f>G7*$C$12/1000000</f>
        <v/>
      </c>
      <c r="J7" s="2">
        <f>H7+I7</f>
        <v/>
      </c>
      <c r="K7" s="65">
        <f>Table2[[#This Row],[Total Cost per query]]*$C$16</f>
        <v/>
      </c>
    </row>
    <row r="8">
      <c r="B8" s="23" t="inlineStr">
        <is>
          <t>Drafting prompt (tone, safety rules, format)</t>
        </is>
      </c>
      <c r="C8" s="15" t="n">
        <v>300</v>
      </c>
      <c r="E8" s="31" t="inlineStr">
        <is>
          <t>claude-sonnet-5-5 (cheaper backup option)</t>
        </is>
      </c>
      <c r="F8" s="2" t="n">
        <v>2</v>
      </c>
      <c r="G8" s="2" t="n">
        <v>10</v>
      </c>
      <c r="H8" s="2">
        <f>F8*$C$11/1000000</f>
        <v/>
      </c>
      <c r="I8" s="2">
        <f>G8*$C$12/1000000</f>
        <v/>
      </c>
      <c r="J8" s="2">
        <f>H8+I8</f>
        <v/>
      </c>
      <c r="K8" s="65">
        <f>Table2[[#This Row],[Total Cost per query]]*$C$16</f>
        <v/>
      </c>
    </row>
    <row r="9">
      <c r="B9" s="23" t="inlineStr">
        <is>
          <t>Drafting context: eligible schemes, amounts, questions, language</t>
        </is>
      </c>
      <c r="C9" s="15" t="n">
        <v>150</v>
      </c>
      <c r="E9" s="33" t="n"/>
      <c r="F9" s="34" t="n"/>
      <c r="G9" s="34" t="n"/>
      <c r="H9" s="34" t="n"/>
      <c r="I9" s="34" t="n"/>
      <c r="J9" s="34" t="n"/>
      <c r="K9" s="66" t="n"/>
    </row>
    <row r="10">
      <c r="B10" s="23" t="inlineStr">
        <is>
          <t>Retrieved documents (none: rules live in code)</t>
        </is>
      </c>
      <c r="C10" s="15" t="n">
        <v>0</v>
      </c>
      <c r="E10" s="26" t="inlineStr">
        <is>
          <t>Share of events that fall back to Claude (assumption)</t>
        </is>
      </c>
      <c r="F10" s="67" t="n">
        <v>0.1</v>
      </c>
      <c r="G10" s="34" t="n"/>
      <c r="H10" s="34" t="n"/>
      <c r="I10" s="34" t="n"/>
      <c r="J10" s="34" t="n"/>
      <c r="K10" s="66" t="n"/>
    </row>
    <row r="11">
      <c r="B11" s="24" t="inlineStr">
        <is>
          <t>Total input tokens per life event</t>
        </is>
      </c>
      <c r="C11" s="25">
        <f>SUM(C6:C10)</f>
        <v/>
      </c>
      <c r="E11" s="26" t="inlineStr">
        <is>
          <t>AI cost per month: Groq on every event + Claude on the fallback share</t>
        </is>
      </c>
      <c r="F11" s="68">
        <f>K6+F10*K7</f>
        <v/>
      </c>
      <c r="G11" s="37" t="n"/>
      <c r="H11" s="37" t="n"/>
      <c r="I11" s="37" t="n"/>
      <c r="J11" s="37" t="n"/>
      <c r="K11" s="69" t="n"/>
    </row>
    <row r="12">
      <c r="B12" s="23" t="inlineStr">
        <is>
          <t>Total output tokens per life event</t>
        </is>
      </c>
      <c r="C12" s="15" t="n">
        <v>1250</v>
      </c>
    </row>
    <row r="13">
      <c r="B13" s="24" t="inlineStr">
        <is>
          <t>Total tokens per life event</t>
        </is>
      </c>
      <c r="C13" s="25">
        <f>C11+C12</f>
        <v/>
      </c>
      <c r="E13" s="70" t="inlineStr">
        <is>
          <t>Recommendation and notes</t>
        </is>
      </c>
    </row>
    <row r="14" ht="44" customHeight="1">
      <c r="B14" s="23" t="inlineStr">
        <is>
          <t>Life events processed per day (pilot region)</t>
        </is>
      </c>
      <c r="C14" s="15" t="n">
        <v>750</v>
      </c>
      <c r="E14" s="71" t="inlineStr">
        <is>
          <t>Primary model: openai/gpt-oss-120b on Groq at $0.15 / $0.60 per 1M tokens: about $21 a month for 22,500 events. Backup: claude-opus-5-5. When a Groq call fails (outage, rate limit, unreadable reply) that step re-runs on Claude.</t>
        </is>
      </c>
    </row>
    <row r="15" ht="44" customHeight="1">
      <c r="B15" s="23" t="inlineStr">
        <is>
          <t>Total number of days per month</t>
        </is>
      </c>
      <c r="C15" s="15" t="n">
        <v>30</v>
      </c>
      <c r="E15" s="71" t="inlineStr">
        <is>
          <t>Budgeted at 10% of events falling back to Claude (about $66 a month), so AI is about $87 a month in total. Even if every event fell back, AI would be about $682 a month, close to Claude-only ($662), so the backup never changes the budget scale.</t>
        </is>
      </c>
    </row>
    <row r="16" ht="44" customHeight="1" thickBot="1">
      <c r="B16" s="26" t="inlineStr">
        <is>
          <t>Total monthly volume of life events</t>
        </is>
      </c>
      <c r="C16" s="27">
        <f>C14*C15</f>
        <v/>
      </c>
      <c r="E16" s="71" t="inlineStr">
        <is>
          <t>Quality gate: after a prompt fix, Groq passed every launch eval on 40 synthetic events (fact recall 98.7%, entitlement precision and recall 100%) and the Claude backup was never used. If Groq drops below the bar on real events, Claude becomes primary and this sheet reverts to about $707 a month.</t>
        </is>
      </c>
    </row>
    <row r="17" ht="44" customHeight="1">
      <c r="E17" s="71" t="inlineStr">
        <is>
          <t>Groq's free tier (8,000 tokens a minute) is enough for the prototype, not the pilot: 750 events a day needs about 1.8M tokens a day. The pilot uses Groq's pay-as-you-go Developer tier (no monthly fee) at the prices shown.</t>
        </is>
      </c>
    </row>
    <row r="18" ht="44" customHeight="1">
      <c r="E18" s="71" t="inlineStr">
        <is>
          <t>Token counts per event are the design estimate (1,100 in / 1,250 out). The passing Groq run measured about 980 in / 850 out, so the estimate is conservative. Prices from public Groq pricing listings, October 2026; confirm on groq.com/pricing.</t>
        </is>
      </c>
    </row>
    <row r="19" ht="44" customHeight="1">
      <c r="B19" s="70" t="inlineStr">
        <is>
          <t>Infrastructure (per month)</t>
        </is>
      </c>
      <c r="E19" s="71" t="inlineStr">
        <is>
          <t>Sonnet 5.5 is shown as a cheaper backup option ($331 at 100%) if the backup share turns out higher than expected.</t>
        </is>
      </c>
    </row>
    <row r="20">
      <c r="B20" s="23" t="inlineStr">
        <is>
          <t>Prototype: Vercel Hobby + browser storage</t>
        </is>
      </c>
      <c r="C20" s="15" t="n">
        <v>0</v>
      </c>
    </row>
    <row r="21">
      <c r="B21" s="23" t="inlineStr">
        <is>
          <t>Pilot: Vercel Pro (hosting, 1 seat)</t>
        </is>
      </c>
      <c r="C21" s="15" t="n">
        <v>20</v>
      </c>
    </row>
    <row r="22">
      <c r="B22" s="23" t="inlineStr">
        <is>
          <t>Pilot: Supabase Pro (audit log database)</t>
        </is>
      </c>
      <c r="C22" s="15" t="n">
        <v>25</v>
      </c>
    </row>
    <row r="23">
      <c r="B23" s="23" t="inlineStr">
        <is>
          <t>Pilot: SMS/email notifications (gov notify service)</t>
        </is>
      </c>
      <c r="C23" s="15" t="n">
        <v>0</v>
      </c>
    </row>
    <row r="24">
      <c r="B24" s="26" t="inlineStr">
        <is>
          <t>Total infrastructure per month (pilot)</t>
        </is>
      </c>
      <c r="C24" s="72">
        <f>SUM(C21:C23)</f>
        <v/>
      </c>
    </row>
    <row r="26">
      <c r="B26" s="26" t="inlineStr">
        <is>
          <t>Total run cost per month, pilot (Groq + Claude backup + infra)</t>
        </is>
      </c>
      <c r="C26" s="72">
        <f>F11+C24</f>
        <v/>
      </c>
    </row>
    <row r="27">
      <c r="B27" s="26" t="inlineStr">
        <is>
          <t>Cost per life event, all-in</t>
        </is>
      </c>
      <c r="C27" s="73">
        <f>C26/C16</f>
        <v/>
      </c>
    </row>
    <row r="28" ht="30" customHeight="1">
      <c r="B28" s="71" t="inlineStr">
        <is>
          <t>Notifications assumed to use the government's existing messaging service, not a new cost to this product.</t>
        </is>
      </c>
    </row>
  </sheetData>
  <mergeCells count="8">
    <mergeCell ref="E14:K14"/>
    <mergeCell ref="E19:K19"/>
    <mergeCell ref="E17:K17"/>
    <mergeCell ref="E18:K18"/>
    <mergeCell ref="E4:K4"/>
    <mergeCell ref="E16:K16"/>
    <mergeCell ref="E15:K15"/>
    <mergeCell ref="B4:C4"/>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C3:J29"/>
  <sheetViews>
    <sheetView zoomScaleNormal="100" workbookViewId="0">
      <selection activeCell="F14" sqref="F14"/>
    </sheetView>
  </sheetViews>
  <sheetFormatPr baseColWidth="8" defaultColWidth="11.1640625" defaultRowHeight="18"/>
  <cols>
    <col width="31.33203125" bestFit="1" customWidth="1" min="3" max="3"/>
    <col width="18" customWidth="1" min="4" max="4"/>
    <col width="22.33203125" bestFit="1" customWidth="1" min="6" max="6"/>
    <col width="15" customWidth="1" min="7" max="7"/>
    <col width="23.4140625" customWidth="1" min="9" max="9"/>
    <col width="14.9140625" customWidth="1" min="10" max="10"/>
  </cols>
  <sheetData>
    <row r="2" ht="18.6" customHeight="1" thickBot="1"/>
    <row r="3" ht="24" customHeight="1" thickBot="1">
      <c r="C3" s="21" t="inlineStr">
        <is>
          <t>Token/word</t>
        </is>
      </c>
      <c r="D3" s="22" t="n">
        <v>1.3</v>
      </c>
    </row>
    <row r="4" ht="18.6" customHeight="1" thickBot="1"/>
    <row r="5" ht="20.1" customHeight="1">
      <c r="C5" s="74" t="inlineStr">
        <is>
          <t>Scheme rulebook</t>
        </is>
      </c>
      <c r="D5" s="75" t="n"/>
      <c r="F5" s="76" t="inlineStr">
        <is>
          <t>Life events</t>
        </is>
      </c>
      <c r="G5" s="75" t="n"/>
      <c r="I5" s="76" t="inlineStr">
        <is>
          <t>Household records</t>
        </is>
      </c>
      <c r="J5" s="75" t="n"/>
    </row>
    <row r="6">
      <c r="C6" s="3" t="inlineStr">
        <is>
          <t>Component</t>
        </is>
      </c>
      <c r="D6" s="4" t="inlineStr">
        <is>
          <t>Quantity</t>
        </is>
      </c>
      <c r="F6" s="3" t="inlineStr">
        <is>
          <t>Component</t>
        </is>
      </c>
      <c r="G6" s="4" t="inlineStr">
        <is>
          <t>Quantity</t>
        </is>
      </c>
      <c r="I6" s="3" t="inlineStr">
        <is>
          <t>Component</t>
        </is>
      </c>
      <c r="J6" s="4" t="inlineStr">
        <is>
          <t>Quantity</t>
        </is>
      </c>
    </row>
    <row r="7">
      <c r="C7" s="5" t="inlineStr">
        <is>
          <t>Number of scheme clauses</t>
        </is>
      </c>
      <c r="D7" s="6" t="n">
        <v>60</v>
      </c>
      <c r="F7" s="9" t="inlineStr">
        <is>
          <t>Life events per month</t>
        </is>
      </c>
      <c r="G7" s="10" t="n">
        <v>22500</v>
      </c>
      <c r="I7" s="11" t="inlineStr">
        <is>
          <t>Household records</t>
        </is>
      </c>
      <c r="J7" s="6" t="n">
        <v>0</v>
      </c>
    </row>
    <row r="8">
      <c r="C8" s="5" t="inlineStr">
        <is>
          <t>Number of words per clause</t>
        </is>
      </c>
      <c r="D8" s="6" t="n">
        <v>25</v>
      </c>
      <c r="F8" s="9" t="inlineStr">
        <is>
          <t>Words per event</t>
        </is>
      </c>
      <c r="G8" s="10" t="n">
        <v>150</v>
      </c>
      <c r="I8" s="12" t="inlineStr">
        <is>
          <t>Words per record</t>
        </is>
      </c>
      <c r="J8" s="6" t="n">
        <v>0</v>
      </c>
    </row>
    <row r="9">
      <c r="C9" s="5" t="inlineStr">
        <is>
          <t>Total number of words</t>
        </is>
      </c>
      <c r="D9" s="6">
        <f>D7*D8</f>
        <v/>
      </c>
      <c r="F9" s="9" t="inlineStr">
        <is>
          <t>Total number of words</t>
        </is>
      </c>
      <c r="G9" s="10">
        <f>G8*G7</f>
        <v/>
      </c>
      <c r="I9" s="11" t="inlineStr">
        <is>
          <t>Total number of words</t>
        </is>
      </c>
      <c r="J9" s="6">
        <f>J8*J7</f>
        <v/>
      </c>
    </row>
    <row r="10" ht="18.6" customHeight="1" thickBot="1">
      <c r="C10" s="7" t="inlineStr">
        <is>
          <t>Total Tokens</t>
        </is>
      </c>
      <c r="D10" s="8">
        <f>D9*D3</f>
        <v/>
      </c>
      <c r="F10" s="7" t="inlineStr">
        <is>
          <t>Total tokens</t>
        </is>
      </c>
      <c r="G10" s="8">
        <f>G9*D3</f>
        <v/>
      </c>
      <c r="I10" s="7" t="inlineStr">
        <is>
          <t>Total tokens</t>
        </is>
      </c>
      <c r="J10" s="8">
        <f>J9*D3</f>
        <v/>
      </c>
    </row>
    <row r="12" ht="18.6" customHeight="1" thickBot="1"/>
    <row r="13">
      <c r="C13" s="74" t="inlineStr">
        <is>
          <t>RAG Embeddings (not used)</t>
        </is>
      </c>
      <c r="D13" s="75" t="n"/>
      <c r="F13" s="70" t="inlineStr">
        <is>
          <t>Why embeddings cost $0</t>
        </is>
      </c>
    </row>
    <row r="14" ht="46" customHeight="1">
      <c r="C14" s="3" t="inlineStr">
        <is>
          <t>Component</t>
        </is>
      </c>
      <c r="D14" s="4" t="inlineStr">
        <is>
          <t>Cost/Quantity</t>
        </is>
      </c>
      <c r="F14" s="71" t="inlineStr">
        <is>
          <t>BenefitBridge has no vector store and no retrieval step. This is a product decision, not a saving we hope for.</t>
        </is>
      </c>
    </row>
    <row r="15" ht="46" customHeight="1">
      <c r="C15" s="5" t="inlineStr">
        <is>
          <t>Total tokens that would be embedded</t>
        </is>
      </c>
      <c r="D15" s="6">
        <f>D10</f>
        <v/>
      </c>
      <c r="F15" s="71" t="inlineStr">
        <is>
          <t>The whole rulebook is about 1,950 tokens (60 clauses x 25 words x 1.3). It is small enough to encode as code, and eligibility must be exact and explainable, so each decision cites a clause instead of a retrieved passage.</t>
        </is>
      </c>
    </row>
    <row r="16" ht="46" customHeight="1">
      <c r="C16" s="5" t="inlineStr">
        <is>
          <t>Cost per 1M token (no embedding model)</t>
        </is>
      </c>
      <c r="D16" s="6" t="n">
        <v>0</v>
      </c>
      <c r="F16" s="71" t="inlineStr">
        <is>
          <t>Life events are read in full by the extraction call (counted on the Inference sheet), not searched, so they are not embedded either. Household records are structured data read by ID.</t>
        </is>
      </c>
    </row>
    <row r="17" ht="46" customHeight="1" thickBot="1">
      <c r="C17" s="13" t="inlineStr">
        <is>
          <t>Total cost for RAG</t>
        </is>
      </c>
      <c r="D17" s="77">
        <f>D15*D16/1000000</f>
        <v/>
      </c>
      <c r="F17" s="71" t="inlineStr">
        <is>
          <t>Revisit if the product grows to hundreds of schemes across agencies; then a pgvector store on Supabase (free tier) would cost a few cents a month at this volume.</t>
        </is>
      </c>
    </row>
    <row r="19" ht="18.6" customHeight="1" thickBot="1"/>
    <row r="20">
      <c r="C20" s="74" t="inlineStr">
        <is>
          <t>Query embeddings (not used)</t>
        </is>
      </c>
      <c r="D20" s="75" t="n"/>
    </row>
    <row r="21">
      <c r="C21" s="3" t="inlineStr">
        <is>
          <t>Component</t>
        </is>
      </c>
      <c r="D21" s="4" t="inlineStr">
        <is>
          <t>Cost/Quantity</t>
        </is>
      </c>
    </row>
    <row r="22">
      <c r="C22" s="5" t="inlineStr">
        <is>
          <t>Tokens per query</t>
        </is>
      </c>
      <c r="D22" s="15" t="n">
        <v>0</v>
      </c>
    </row>
    <row r="23">
      <c r="C23" s="5" t="inlineStr">
        <is>
          <t>Queries per month</t>
        </is>
      </c>
      <c r="D23" s="6" t="n">
        <v>0</v>
      </c>
    </row>
    <row r="24">
      <c r="C24" s="5" t="inlineStr">
        <is>
          <t>Total tokens per month</t>
        </is>
      </c>
      <c r="D24" s="6">
        <f>D23*D22</f>
        <v/>
      </c>
    </row>
    <row r="25">
      <c r="C25" s="16" t="inlineStr">
        <is>
          <t>Cost per 1M token</t>
        </is>
      </c>
      <c r="D25" s="17" t="n">
        <v>0.13</v>
      </c>
    </row>
    <row r="26" ht="18.6" customHeight="1" thickBot="1">
      <c r="C26" s="18" t="inlineStr">
        <is>
          <t>Total cost for user query embeddings</t>
        </is>
      </c>
      <c r="D26" s="77">
        <f>D24*D25/1000000</f>
        <v/>
      </c>
    </row>
    <row r="28" ht="18.6" customHeight="1" thickBot="1"/>
    <row r="29" ht="18.6" customHeight="1" thickBot="1">
      <c r="C29" s="19" t="inlineStr">
        <is>
          <t>Total cost of Embeddings</t>
        </is>
      </c>
      <c r="D29" s="78">
        <f>D17+D26</f>
        <v/>
      </c>
    </row>
  </sheetData>
  <mergeCells count="9">
    <mergeCell ref="F17:J17"/>
    <mergeCell ref="C20:D20"/>
    <mergeCell ref="F15:J15"/>
    <mergeCell ref="F5:G5"/>
    <mergeCell ref="C5:D5"/>
    <mergeCell ref="F16:J16"/>
    <mergeCell ref="I5:J5"/>
    <mergeCell ref="C13:D13"/>
    <mergeCell ref="F14:J14"/>
  </mergeCells>
  <pageMargins left="0.7" right="0.7" top="0.75" bottom="0.75" header="0.3" footer="0.3"/>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outlinePr summaryBelow="1" summaryRight="1"/>
    <pageSetUpPr/>
  </sheetPr>
  <dimension ref="D3:G32"/>
  <sheetViews>
    <sheetView zoomScaleNormal="100" workbookViewId="0">
      <selection activeCell="C12" sqref="C12"/>
    </sheetView>
  </sheetViews>
  <sheetFormatPr baseColWidth="8" defaultColWidth="11.1640625" defaultRowHeight="18"/>
  <cols>
    <col width="50" customWidth="1" min="4" max="4"/>
    <col width="16" customWidth="1" min="5" max="5"/>
    <col width="70" customWidth="1" min="7" max="7"/>
  </cols>
  <sheetData>
    <row r="3">
      <c r="D3" s="60" t="inlineStr">
        <is>
          <t>Caseworker capacity needed today (manual review)</t>
        </is>
      </c>
      <c r="G3" s="70" t="inlineStr">
        <is>
          <t>How to read this sheet</t>
        </is>
      </c>
    </row>
    <row r="4" ht="58" customHeight="1">
      <c r="D4" s="1" t="inlineStr">
        <is>
          <t>Component</t>
        </is>
      </c>
      <c r="E4" s="1" t="inlineStr">
        <is>
          <t>Quantity</t>
        </is>
      </c>
      <c r="G4" s="71" t="inlineStr">
        <is>
          <t>The saving is caseworker capacity, not headcount cut. Freed time goes back into complex cases, hardship visits and the discretionary decisions only people make. That is how the pilot will be pitched to staff and unions.</t>
        </is>
      </c>
    </row>
    <row r="5" ht="58" customHeight="1">
      <c r="D5" s="1" t="inlineStr">
        <is>
          <t>Life events needing review per day</t>
        </is>
      </c>
      <c r="E5" s="1" t="n">
        <v>750</v>
      </c>
      <c r="G5" s="71" t="inlineStr">
        <is>
          <t>Assisted review time (10 minutes) is the PRD target and is unproven until the pilot times real reviews (open question in PRD section 16). At 20 minutes per review (16 a day) about 37% of review time is still freed.</t>
        </is>
      </c>
    </row>
    <row r="6" ht="58" customHeight="1">
      <c r="D6" s="1" t="inlineStr">
        <is>
          <t>Reviews per caseworker per day (45 min each)</t>
        </is>
      </c>
      <c r="E6" s="1" t="n">
        <v>10</v>
      </c>
      <c r="G6" s="71" t="inlineStr">
        <is>
          <t>The AI run cost (about $87 a month on Groq with Claude backup, about $132 with hosting) is under 0.1% of the caseworker time it supports, so model choice is a quality decision, not a budget one.</t>
        </is>
      </c>
    </row>
    <row r="7" ht="58" customHeight="1">
      <c r="D7" s="1" t="inlineStr">
        <is>
          <t>Working days per month</t>
        </is>
      </c>
      <c r="E7" s="1" t="n">
        <v>22</v>
      </c>
      <c r="G7" s="71" t="inlineStr">
        <is>
          <t>Bigger than the saving: support reaching citizens. Raising 30-day enrolment from 21% to 45% on 22,500 events a month, where 72% have something unclaimed (29 of today's 40) worth about $7,200 a year each, means roughly 3,900 more households a month getting support on time. That money is already budgeted entitlement, not new spend.</t>
        </is>
      </c>
    </row>
    <row r="8" ht="58" customHeight="1">
      <c r="D8" s="1" t="inlineStr">
        <is>
          <t>Reviews per caseworker per month</t>
        </is>
      </c>
      <c r="E8" s="1">
        <f>E6*E7</f>
        <v/>
      </c>
      <c r="G8" s="71" t="inlineStr">
        <is>
          <t>Salary and overhead figures are synthetic assumptions for the Republic of Aurelia.</t>
        </is>
      </c>
    </row>
    <row r="9">
      <c r="D9" s="1" t="inlineStr">
        <is>
          <t>Total reviews per month (from Inference sheet)</t>
        </is>
      </c>
      <c r="E9" s="1">
        <f>Inference!C16</f>
        <v/>
      </c>
    </row>
    <row r="10">
      <c r="D10" s="1" t="inlineStr">
        <is>
          <t>Caseworkers needed (manual)</t>
        </is>
      </c>
      <c r="E10" s="79">
        <f>E9/E8</f>
        <v/>
      </c>
    </row>
    <row r="13">
      <c r="D13" s="60" t="inlineStr">
        <is>
          <t>Monthly cost of that caseworker time</t>
        </is>
      </c>
    </row>
    <row r="14">
      <c r="D14" s="28" t="inlineStr">
        <is>
          <t>Component</t>
        </is>
      </c>
      <c r="E14" s="44" t="inlineStr">
        <is>
          <t>Cost</t>
        </is>
      </c>
    </row>
    <row r="15">
      <c r="D15" s="31" t="inlineStr">
        <is>
          <t>Salary per caseworker per month ($)</t>
        </is>
      </c>
      <c r="E15" s="80" t="n">
        <v>4200</v>
      </c>
    </row>
    <row r="16">
      <c r="D16" s="31" t="inlineStr">
        <is>
          <t>Admin and overhead per caseworker per month ($)</t>
        </is>
      </c>
      <c r="E16" s="81" t="n">
        <v>800</v>
      </c>
    </row>
    <row r="17">
      <c r="D17" s="49" t="inlineStr">
        <is>
          <t>Total cost per caseworker per month</t>
        </is>
      </c>
      <c r="E17" s="82">
        <f>E15+E16</f>
        <v/>
      </c>
    </row>
    <row r="19">
      <c r="D19" s="60" t="inlineStr">
        <is>
          <t>Total cost of caseworker time, manual</t>
        </is>
      </c>
      <c r="E19" s="83">
        <f>E17*E10</f>
        <v/>
      </c>
    </row>
    <row r="22" ht="20.1" customHeight="1">
      <c r="D22" s="61" t="inlineStr">
        <is>
          <t>Cost with BenefitBridge (assisted review, 10 min each)</t>
        </is>
      </c>
    </row>
    <row r="23">
      <c r="D23" s="28" t="inlineStr">
        <is>
          <t>Component</t>
        </is>
      </c>
      <c r="E23" s="44" t="inlineStr">
        <is>
          <t>Cost</t>
        </is>
      </c>
    </row>
    <row r="24">
      <c r="D24" s="33" t="inlineStr">
        <is>
          <t>AI inference (Groq primary + Claude backup, Inference sheet)</t>
        </is>
      </c>
      <c r="E24" s="84">
        <f>Inference!F11</f>
        <v/>
      </c>
    </row>
    <row r="25">
      <c r="D25" s="36" t="inlineStr">
        <is>
          <t>Infrastructure, pilot (Inference sheet)</t>
        </is>
      </c>
      <c r="E25" s="85">
        <f>Inference!C24</f>
        <v/>
      </c>
    </row>
    <row r="26">
      <c r="D26" s="36" t="inlineStr">
        <is>
          <t>Caseworker time, assisted (32 reviews a day each)</t>
        </is>
      </c>
      <c r="E26" s="85">
        <f>E9/(32*E7)*E17</f>
        <v/>
      </c>
    </row>
    <row r="27">
      <c r="D27" s="60" t="inlineStr">
        <is>
          <t>Total cost with BenefitBridge</t>
        </is>
      </c>
      <c r="E27" s="83">
        <f>E24+E25+E26</f>
        <v/>
      </c>
    </row>
    <row r="30">
      <c r="D30" s="41" t="inlineStr">
        <is>
          <t>Caseworker time freed per month ($)</t>
        </is>
      </c>
      <c r="E30" s="86">
        <f>E19-E27</f>
        <v/>
      </c>
    </row>
    <row r="31">
      <c r="D31" s="41" t="inlineStr">
        <is>
          <t>% of review time freed</t>
        </is>
      </c>
      <c r="E31" s="43">
        <f>E30/E19</f>
        <v/>
      </c>
    </row>
    <row r="32">
      <c r="D32" s="41" t="inlineStr">
        <is>
          <t>Caseworkers' worth of time freed</t>
        </is>
      </c>
      <c r="E32" s="87">
        <f>E10-E9/(32*E7)</f>
        <v/>
      </c>
    </row>
  </sheetData>
  <mergeCells count="3">
    <mergeCell ref="D3:E3"/>
    <mergeCell ref="D13:E13"/>
    <mergeCell ref="D22:E22"/>
  </mergeCells>
  <pageMargins left="0.7" right="0.7" top="0.75" bottom="0.75" header="0.3" footer="0.3"/>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Aakash  Pardeshi</dc:creator>
  <dcterms:created xmlns:dcterms="http://purl.org/dc/terms/" xmlns:xsi="http://www.w3.org/2001/XMLSchema-instance" xsi:type="dcterms:W3CDTF">2026-09-12T10:38:39Z</dcterms:created>
  <dcterms:modified xmlns:dcterms="http://purl.org/dc/terms/" xmlns:xsi="http://www.w3.org/2001/XMLSchema-instance" xsi:type="dcterms:W3CDTF">2026-10-25T11:14:30Z</dcterms:modified>
  <cp:lastModifiedBy>Admin</cp:lastModifiedBy>
</cp:coreProperties>
</file>